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542b0eedbde6f23/Documents/dèv/projet_SVM_fiabila/"/>
    </mc:Choice>
  </mc:AlternateContent>
  <xr:revisionPtr revIDLastSave="5" documentId="8_{87BAAAC3-05E7-449E-A9A6-4FAD689F0B13}" xr6:coauthVersionLast="47" xr6:coauthVersionMax="47" xr10:uidLastSave="{5DC5BE76-6E9B-4EF6-A34E-08006DFF6504}"/>
  <bookViews>
    <workbookView xWindow="-108" yWindow="-108" windowWidth="23256" windowHeight="12456" xr2:uid="{00000000-000D-0000-FFFF-FFFF00000000}"/>
  </bookViews>
  <sheets>
    <sheet name="Bila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2" l="1"/>
  <c r="D26" i="2"/>
  <c r="C26" i="2"/>
  <c r="B26" i="2"/>
  <c r="C25" i="2"/>
  <c r="E27" i="2" l="1"/>
  <c r="D27" i="2"/>
  <c r="C27" i="2"/>
  <c r="J27" i="2"/>
  <c r="I27" i="2"/>
  <c r="H27" i="2"/>
</calcChain>
</file>

<file path=xl/sharedStrings.xml><?xml version="1.0" encoding="utf-8"?>
<sst xmlns="http://schemas.openxmlformats.org/spreadsheetml/2006/main" count="18" uniqueCount="12">
  <si>
    <t>Numéro de lot</t>
  </si>
  <si>
    <t>N/D</t>
  </si>
  <si>
    <t>TABLEAU BILAN – BROYEUR B430</t>
  </si>
  <si>
    <t>N°</t>
  </si>
  <si>
    <t>✔  BON PRODUIT</t>
  </si>
  <si>
    <t>✘  MAUVAIS PRODUIT</t>
  </si>
  <si>
    <t>Durée (min)</t>
  </si>
  <si>
    <t>Temp. (°C)</t>
  </si>
  <si>
    <t>Pression (bar)</t>
  </si>
  <si>
    <t>MOY.</t>
  </si>
  <si>
    <t>MOYENNE</t>
  </si>
  <si>
    <t>ℹ  N/D = donnée non disponible (exclue de la moyenne). Les 21 lots bons produit et 13 lots mauvais produit sont issus de Sheet1. Durées converties en minutes (1 h = 60 min).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</si>
</sst>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7B151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B1515"/>
        <bgColor indexed="64"/>
      </patternFill>
    </fill>
    <fill>
      <patternFill patternType="solid">
        <fgColor rgb="FFBDC3C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DDE4F0"/>
        <bgColor indexed="64"/>
      </patternFill>
    </fill>
    <fill>
      <patternFill patternType="solid">
        <fgColor rgb="FFEBF5EB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EE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99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3" borderId="0" xfId="0" applyFill="1"/>
    <xf numFmtId="0" fontId="0" fillId="6" borderId="1" xfId="0" applyFill="1" applyBorder="1"/>
    <xf numFmtId="0" fontId="0" fillId="6" borderId="2" xfId="0" applyFill="1" applyBorder="1"/>
    <xf numFmtId="0" fontId="5" fillId="7" borderId="7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 vertical="center"/>
    </xf>
    <xf numFmtId="1" fontId="0" fillId="11" borderId="7" xfId="0" applyNumberFormat="1" applyFill="1" applyBorder="1" applyAlignment="1">
      <alignment horizontal="center" vertical="center"/>
    </xf>
    <xf numFmtId="2" fontId="0" fillId="12" borderId="7" xfId="0" applyNumberFormat="1" applyFill="1" applyBorder="1" applyAlignment="1">
      <alignment horizontal="center" vertical="center"/>
    </xf>
    <xf numFmtId="164" fontId="0" fillId="12" borderId="8" xfId="0" applyNumberForma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1" fontId="0" fillId="14" borderId="7" xfId="0" applyNumberFormat="1" applyFill="1" applyBorder="1" applyAlignment="1">
      <alignment horizontal="center" vertical="center"/>
    </xf>
    <xf numFmtId="2" fontId="0" fillId="14" borderId="7" xfId="0" applyNumberFormat="1" applyFill="1" applyBorder="1" applyAlignment="1">
      <alignment horizontal="center" vertical="center"/>
    </xf>
    <xf numFmtId="164" fontId="0" fillId="14" borderId="8" xfId="0" applyNumberForma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/>
    </xf>
    <xf numFmtId="2" fontId="0" fillId="11" borderId="10" xfId="0" applyNumberFormat="1" applyFill="1" applyBorder="1" applyAlignment="1">
      <alignment horizontal="center" vertical="center"/>
    </xf>
    <xf numFmtId="2" fontId="0" fillId="14" borderId="10" xfId="0" applyNumberForma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/>
    </xf>
    <xf numFmtId="164" fontId="0" fillId="11" borderId="8" xfId="0" applyNumberForma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/>
    </xf>
    <xf numFmtId="1" fontId="0" fillId="12" borderId="12" xfId="0" applyNumberFormat="1" applyFill="1" applyBorder="1" applyAlignment="1">
      <alignment horizontal="center" vertical="center"/>
    </xf>
    <xf numFmtId="1" fontId="0" fillId="14" borderId="12" xfId="0" applyNumberForma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/>
    </xf>
    <xf numFmtId="0" fontId="4" fillId="13" borderId="16" xfId="0" applyFont="1" applyFill="1" applyBorder="1" applyAlignment="1">
      <alignment horizontal="center" vertical="center"/>
    </xf>
    <xf numFmtId="1" fontId="0" fillId="14" borderId="17" xfId="0" applyNumberFormat="1" applyFill="1" applyBorder="1" applyAlignment="1">
      <alignment horizontal="center" vertical="center"/>
    </xf>
    <xf numFmtId="2" fontId="0" fillId="14" borderId="18" xfId="0" applyNumberFormat="1" applyFill="1" applyBorder="1" applyAlignment="1">
      <alignment horizontal="center" vertical="center"/>
    </xf>
    <xf numFmtId="164" fontId="0" fillId="14" borderId="19" xfId="0" applyNumberFormat="1" applyFill="1" applyBorder="1" applyAlignment="1">
      <alignment horizontal="center" vertical="center"/>
    </xf>
    <xf numFmtId="0" fontId="0" fillId="6" borderId="20" xfId="0" applyFill="1" applyBorder="1"/>
    <xf numFmtId="0" fontId="0" fillId="6" borderId="22" xfId="0" applyFill="1" applyBorder="1"/>
    <xf numFmtId="0" fontId="7" fillId="17" borderId="15" xfId="0" applyFont="1" applyFill="1" applyBorder="1" applyAlignment="1">
      <alignment horizontal="center"/>
    </xf>
    <xf numFmtId="1" fontId="0" fillId="12" borderId="6" xfId="0" applyNumberFormat="1" applyFill="1" applyBorder="1" applyAlignment="1">
      <alignment horizontal="center" vertical="center"/>
    </xf>
    <xf numFmtId="1" fontId="0" fillId="14" borderId="6" xfId="0" applyNumberFormat="1" applyFill="1" applyBorder="1" applyAlignment="1">
      <alignment horizontal="center" vertical="center"/>
    </xf>
    <xf numFmtId="1" fontId="1" fillId="18" borderId="23" xfId="0" applyNumberFormat="1" applyFont="1" applyFill="1" applyBorder="1" applyAlignment="1">
      <alignment horizontal="center"/>
    </xf>
    <xf numFmtId="2" fontId="1" fillId="18" borderId="13" xfId="0" applyNumberFormat="1" applyFont="1" applyFill="1" applyBorder="1" applyAlignment="1">
      <alignment horizontal="center"/>
    </xf>
    <xf numFmtId="164" fontId="1" fillId="18" borderId="14" xfId="0" applyNumberFormat="1" applyFont="1" applyFill="1" applyBorder="1" applyAlignment="1">
      <alignment horizontal="center"/>
    </xf>
    <xf numFmtId="0" fontId="0" fillId="6" borderId="0" xfId="0" applyFill="1"/>
    <xf numFmtId="0" fontId="7" fillId="2" borderId="24" xfId="0" applyFont="1" applyFill="1" applyBorder="1" applyAlignment="1">
      <alignment horizontal="center"/>
    </xf>
    <xf numFmtId="0" fontId="9" fillId="10" borderId="25" xfId="0" applyFont="1" applyFill="1" applyBorder="1" applyAlignment="1">
      <alignment horizontal="center" vertical="center"/>
    </xf>
    <xf numFmtId="0" fontId="7" fillId="15" borderId="26" xfId="0" applyFont="1" applyFill="1" applyBorder="1" applyAlignment="1">
      <alignment horizontal="center"/>
    </xf>
    <xf numFmtId="1" fontId="0" fillId="11" borderId="27" xfId="0" applyNumberFormat="1" applyFill="1" applyBorder="1" applyAlignment="1">
      <alignment horizontal="center" vertical="center"/>
    </xf>
    <xf numFmtId="1" fontId="1" fillId="16" borderId="26" xfId="0" applyNumberFormat="1" applyFont="1" applyFill="1" applyBorder="1" applyAlignment="1">
      <alignment horizontal="center"/>
    </xf>
    <xf numFmtId="2" fontId="1" fillId="16" borderId="28" xfId="0" applyNumberFormat="1" applyFont="1" applyFill="1" applyBorder="1" applyAlignment="1">
      <alignment horizontal="center"/>
    </xf>
    <xf numFmtId="2" fontId="0" fillId="11" borderId="27" xfId="0" applyNumberFormat="1" applyFill="1" applyBorder="1" applyAlignment="1">
      <alignment horizontal="center" vertical="center"/>
    </xf>
    <xf numFmtId="164" fontId="1" fillId="16" borderId="29" xfId="0" applyNumberFormat="1" applyFont="1" applyFill="1" applyBorder="1" applyAlignment="1">
      <alignment horizontal="center"/>
    </xf>
    <xf numFmtId="164" fontId="0" fillId="11" borderId="30" xfId="0" applyNumberFormat="1" applyFill="1" applyBorder="1" applyAlignment="1">
      <alignment horizontal="center" vertical="center"/>
    </xf>
    <xf numFmtId="1" fontId="0" fillId="14" borderId="16" xfId="0" applyNumberFormat="1" applyFill="1" applyBorder="1" applyAlignment="1">
      <alignment horizontal="center" vertical="center"/>
    </xf>
    <xf numFmtId="1" fontId="0" fillId="14" borderId="21" xfId="0" applyNumberFormat="1" applyFill="1" applyBorder="1" applyAlignment="1">
      <alignment horizontal="center" vertical="center"/>
    </xf>
    <xf numFmtId="2" fontId="0" fillId="14" borderId="17" xfId="0" applyNumberFormat="1" applyFill="1" applyBorder="1" applyAlignment="1">
      <alignment horizontal="center" vertical="center"/>
    </xf>
    <xf numFmtId="1" fontId="0" fillId="12" borderId="31" xfId="0" applyNumberFormat="1" applyFill="1" applyBorder="1" applyAlignment="1">
      <alignment horizontal="center"/>
    </xf>
    <xf numFmtId="1" fontId="0" fillId="12" borderId="32" xfId="0" applyNumberFormat="1" applyFill="1" applyBorder="1" applyAlignment="1">
      <alignment horizontal="center"/>
    </xf>
    <xf numFmtId="2" fontId="0" fillId="12" borderId="32" xfId="0" applyNumberFormat="1" applyFill="1" applyBorder="1" applyAlignment="1">
      <alignment horizontal="center"/>
    </xf>
    <xf numFmtId="164" fontId="0" fillId="12" borderId="33" xfId="0" applyNumberFormat="1" applyFill="1" applyBorder="1" applyAlignment="1">
      <alignment horizontal="center"/>
    </xf>
    <xf numFmtId="1" fontId="0" fillId="14" borderId="31" xfId="0" applyNumberFormat="1" applyFill="1" applyBorder="1" applyAlignment="1">
      <alignment horizontal="center"/>
    </xf>
    <xf numFmtId="1" fontId="0" fillId="14" borderId="32" xfId="0" applyNumberFormat="1" applyFill="1" applyBorder="1" applyAlignment="1">
      <alignment horizontal="center"/>
    </xf>
    <xf numFmtId="2" fontId="0" fillId="14" borderId="32" xfId="0" applyNumberFormat="1" applyFill="1" applyBorder="1" applyAlignment="1">
      <alignment horizontal="center"/>
    </xf>
    <xf numFmtId="164" fontId="0" fillId="14" borderId="33" xfId="0" applyNumberFormat="1" applyFill="1" applyBorder="1" applyAlignment="1">
      <alignment horizontal="center"/>
    </xf>
    <xf numFmtId="0" fontId="4" fillId="13" borderId="34" xfId="0" applyFont="1" applyFill="1" applyBorder="1" applyAlignment="1">
      <alignment horizontal="center" vertical="center"/>
    </xf>
    <xf numFmtId="1" fontId="0" fillId="14" borderId="0" xfId="0" applyNumberFormat="1" applyFill="1" applyAlignment="1">
      <alignment horizontal="center" vertical="center"/>
    </xf>
    <xf numFmtId="2" fontId="0" fillId="14" borderId="0" xfId="0" applyNumberFormat="1" applyFill="1" applyAlignment="1">
      <alignment horizontal="center" vertical="center"/>
    </xf>
    <xf numFmtId="164" fontId="0" fillId="14" borderId="35" xfId="0" applyNumberForma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8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E59709-0FD9-4103-91E1-A519ED02067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ff21031-0c00-43f6-be3c-6df891cd9e3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6E333-5EC4-488E-9B0A-5C5E52B64EBC}">
  <dimension ref="A1:J29"/>
  <sheetViews>
    <sheetView tabSelected="1" workbookViewId="0">
      <pane ySplit="4" topLeftCell="A14" activePane="bottomLeft" state="frozen"/>
      <selection pane="bottomLeft" activeCell="E27" sqref="E27"/>
    </sheetView>
  </sheetViews>
  <sheetFormatPr baseColWidth="10" defaultRowHeight="14.4" x14ac:dyDescent="0.3"/>
  <sheetData>
    <row r="1" spans="1:10" ht="40.049999999999997" customHeight="1" x14ac:dyDescent="0.3">
      <c r="A1" s="61" t="s">
        <v>2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ht="4.95" customHeight="1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8.05" customHeight="1" x14ac:dyDescent="0.3">
      <c r="A3" s="69" t="s">
        <v>3</v>
      </c>
      <c r="B3" s="62" t="s">
        <v>4</v>
      </c>
      <c r="C3" s="62"/>
      <c r="D3" s="63"/>
      <c r="E3" s="64"/>
      <c r="F3" s="2"/>
      <c r="G3" s="65" t="s">
        <v>5</v>
      </c>
      <c r="H3" s="66"/>
      <c r="I3" s="67"/>
      <c r="J3" s="68"/>
    </row>
    <row r="4" spans="1:10" ht="22.05" customHeight="1" x14ac:dyDescent="0.3">
      <c r="A4" s="70"/>
      <c r="B4" s="4" t="s">
        <v>0</v>
      </c>
      <c r="C4" s="4" t="s">
        <v>6</v>
      </c>
      <c r="D4" s="15" t="s">
        <v>7</v>
      </c>
      <c r="E4" s="18" t="s">
        <v>8</v>
      </c>
      <c r="F4" s="3"/>
      <c r="G4" s="23" t="s">
        <v>0</v>
      </c>
      <c r="H4" s="20" t="s">
        <v>6</v>
      </c>
      <c r="I4" s="5" t="s">
        <v>7</v>
      </c>
      <c r="J4" s="6" t="s">
        <v>8</v>
      </c>
    </row>
    <row r="5" spans="1:10" ht="19.95" customHeight="1" x14ac:dyDescent="0.3">
      <c r="A5" s="7">
        <v>1</v>
      </c>
      <c r="B5" s="8">
        <v>25020346</v>
      </c>
      <c r="C5" s="8">
        <v>1019</v>
      </c>
      <c r="D5" s="16">
        <v>46.68</v>
      </c>
      <c r="E5" s="19">
        <v>0.92200000000000004</v>
      </c>
      <c r="F5" s="3"/>
      <c r="G5" s="31">
        <v>25110705</v>
      </c>
      <c r="H5" s="21">
        <v>737</v>
      </c>
      <c r="I5" s="9">
        <v>49.6</v>
      </c>
      <c r="J5" s="10">
        <v>1.2470000000000001</v>
      </c>
    </row>
    <row r="6" spans="1:10" ht="19.95" customHeight="1" x14ac:dyDescent="0.3">
      <c r="A6" s="11">
        <v>2</v>
      </c>
      <c r="B6" s="12">
        <v>25050370</v>
      </c>
      <c r="C6" s="12">
        <v>725</v>
      </c>
      <c r="D6" s="17" t="s">
        <v>1</v>
      </c>
      <c r="E6" s="14">
        <v>0.81799999999999995</v>
      </c>
      <c r="F6" s="3"/>
      <c r="G6" s="32">
        <v>25480433</v>
      </c>
      <c r="H6" s="22">
        <v>885</v>
      </c>
      <c r="I6" s="13">
        <v>51.39</v>
      </c>
      <c r="J6" s="14">
        <v>0.86</v>
      </c>
    </row>
    <row r="7" spans="1:10" ht="19.95" customHeight="1" x14ac:dyDescent="0.3">
      <c r="A7" s="7">
        <v>3</v>
      </c>
      <c r="B7" s="8">
        <v>25050371</v>
      </c>
      <c r="C7" s="8">
        <v>668</v>
      </c>
      <c r="D7" s="16">
        <v>42</v>
      </c>
      <c r="E7" s="19">
        <v>0.82399999999999995</v>
      </c>
      <c r="F7" s="3"/>
      <c r="G7" s="31">
        <v>25500396</v>
      </c>
      <c r="H7" s="21">
        <v>841</v>
      </c>
      <c r="I7" s="9">
        <v>51.43</v>
      </c>
      <c r="J7" s="10">
        <v>0.99399999999999999</v>
      </c>
    </row>
    <row r="8" spans="1:10" ht="19.95" customHeight="1" x14ac:dyDescent="0.3">
      <c r="A8" s="11">
        <v>4</v>
      </c>
      <c r="B8" s="12">
        <v>25050372</v>
      </c>
      <c r="C8" s="12">
        <v>1114</v>
      </c>
      <c r="D8" s="17">
        <v>47.82</v>
      </c>
      <c r="E8" s="14">
        <v>0.72</v>
      </c>
      <c r="F8" s="3"/>
      <c r="G8" s="32">
        <v>26030732</v>
      </c>
      <c r="H8" s="22">
        <v>893</v>
      </c>
      <c r="I8" s="13">
        <v>49.01</v>
      </c>
      <c r="J8" s="14">
        <v>0.77600000000000002</v>
      </c>
    </row>
    <row r="9" spans="1:10" ht="19.95" customHeight="1" x14ac:dyDescent="0.3">
      <c r="A9" s="7">
        <v>5</v>
      </c>
      <c r="B9" s="8">
        <v>25060444</v>
      </c>
      <c r="C9" s="8">
        <v>923</v>
      </c>
      <c r="D9" s="16">
        <v>48.91</v>
      </c>
      <c r="E9" s="19">
        <v>1.1399999999999999</v>
      </c>
      <c r="F9" s="3"/>
      <c r="G9" s="31">
        <v>26040641</v>
      </c>
      <c r="H9" s="21">
        <v>745</v>
      </c>
      <c r="I9" s="9">
        <v>49.91</v>
      </c>
      <c r="J9" s="10">
        <v>1.169</v>
      </c>
    </row>
    <row r="10" spans="1:10" ht="19.95" customHeight="1" x14ac:dyDescent="0.3">
      <c r="A10" s="11">
        <v>6</v>
      </c>
      <c r="B10" s="12">
        <v>25060445</v>
      </c>
      <c r="C10" s="12">
        <v>775</v>
      </c>
      <c r="D10" s="17">
        <v>43.2</v>
      </c>
      <c r="E10" s="14">
        <v>0.92</v>
      </c>
      <c r="F10" s="3"/>
      <c r="G10" s="32">
        <v>26040642</v>
      </c>
      <c r="H10" s="22">
        <v>669</v>
      </c>
      <c r="I10" s="13" t="s">
        <v>1</v>
      </c>
      <c r="J10" s="14">
        <v>0.94299999999999995</v>
      </c>
    </row>
    <row r="11" spans="1:10" ht="19.95" customHeight="1" x14ac:dyDescent="0.3">
      <c r="A11" s="7">
        <v>7</v>
      </c>
      <c r="B11" s="8">
        <v>25060446</v>
      </c>
      <c r="C11" s="8">
        <v>1472</v>
      </c>
      <c r="D11" s="16">
        <v>49.69</v>
      </c>
      <c r="E11" s="19">
        <v>1.2110000000000001</v>
      </c>
      <c r="F11" s="3"/>
      <c r="G11" s="31">
        <v>26160265</v>
      </c>
      <c r="H11" s="21">
        <v>771</v>
      </c>
      <c r="I11" s="9">
        <v>49.8</v>
      </c>
      <c r="J11" s="10">
        <v>0.93100000000000005</v>
      </c>
    </row>
    <row r="12" spans="1:10" ht="19.95" customHeight="1" x14ac:dyDescent="0.3">
      <c r="A12" s="11">
        <v>8</v>
      </c>
      <c r="B12" s="12">
        <v>25060447</v>
      </c>
      <c r="C12" s="12">
        <v>939</v>
      </c>
      <c r="D12" s="17">
        <v>49.54</v>
      </c>
      <c r="E12" s="14">
        <v>1.109</v>
      </c>
      <c r="F12" s="3"/>
      <c r="G12" s="46">
        <v>25140526</v>
      </c>
      <c r="H12" s="47">
        <v>912</v>
      </c>
      <c r="I12" s="48">
        <v>49.81</v>
      </c>
      <c r="J12" s="27">
        <v>0.92500000000000004</v>
      </c>
    </row>
    <row r="13" spans="1:10" ht="19.95" customHeight="1" x14ac:dyDescent="0.3">
      <c r="A13" s="7">
        <v>9</v>
      </c>
      <c r="B13" s="8">
        <v>25110700</v>
      </c>
      <c r="C13" s="8">
        <v>755</v>
      </c>
      <c r="D13" s="16">
        <v>49.49</v>
      </c>
      <c r="E13" s="19">
        <v>0.747</v>
      </c>
      <c r="F13" s="3"/>
      <c r="G13" s="49">
        <v>25050369</v>
      </c>
      <c r="H13" s="50">
        <v>760.2</v>
      </c>
      <c r="I13" s="51">
        <v>45.01</v>
      </c>
      <c r="J13" s="52">
        <v>0.78900000000000003</v>
      </c>
    </row>
    <row r="14" spans="1:10" ht="19.95" customHeight="1" x14ac:dyDescent="0.3">
      <c r="A14" s="11">
        <v>10</v>
      </c>
      <c r="B14" s="12">
        <v>25110701</v>
      </c>
      <c r="C14" s="12">
        <v>778</v>
      </c>
      <c r="D14" s="17">
        <v>48.82</v>
      </c>
      <c r="E14" s="14">
        <v>0.71399999999999997</v>
      </c>
      <c r="F14" s="3"/>
      <c r="G14" s="53">
        <v>26030731</v>
      </c>
      <c r="H14" s="54">
        <v>1185</v>
      </c>
      <c r="I14" s="55">
        <v>49.84</v>
      </c>
      <c r="J14" s="56">
        <v>0.82099999999999995</v>
      </c>
    </row>
    <row r="15" spans="1:10" ht="19.95" customHeight="1" x14ac:dyDescent="0.3">
      <c r="A15" s="7">
        <v>11</v>
      </c>
      <c r="B15" s="8">
        <v>25110702</v>
      </c>
      <c r="C15" s="8">
        <v>560</v>
      </c>
      <c r="D15" s="16">
        <v>49.3</v>
      </c>
      <c r="E15" s="19">
        <v>0.76</v>
      </c>
      <c r="F15" s="3"/>
      <c r="G15" s="49">
        <v>26020521</v>
      </c>
      <c r="H15" s="50">
        <v>679.8</v>
      </c>
      <c r="I15" s="51">
        <v>54.25</v>
      </c>
      <c r="J15" s="52">
        <v>0.72899999999999998</v>
      </c>
    </row>
    <row r="16" spans="1:10" ht="19.95" customHeight="1" x14ac:dyDescent="0.3">
      <c r="A16" s="11">
        <v>12</v>
      </c>
      <c r="B16" s="12">
        <v>25110704</v>
      </c>
      <c r="C16" s="12">
        <v>641</v>
      </c>
      <c r="D16" s="17">
        <v>47.67</v>
      </c>
      <c r="E16" s="14">
        <v>0.82499999999999996</v>
      </c>
      <c r="F16" s="3"/>
      <c r="G16" s="53">
        <v>26020519</v>
      </c>
      <c r="H16" s="54">
        <v>1200</v>
      </c>
      <c r="I16" s="55">
        <v>52.46</v>
      </c>
      <c r="J16" s="56">
        <v>0.74299999999999999</v>
      </c>
    </row>
    <row r="17" spans="1:10" ht="19.95" customHeight="1" x14ac:dyDescent="0.3">
      <c r="A17" s="7">
        <v>13</v>
      </c>
      <c r="B17" s="8">
        <v>25140527</v>
      </c>
      <c r="C17" s="8">
        <v>751</v>
      </c>
      <c r="D17" s="16">
        <v>49.12</v>
      </c>
      <c r="E17" s="19">
        <v>0.61299999999999999</v>
      </c>
      <c r="F17" s="3"/>
      <c r="G17" s="31"/>
      <c r="H17" s="21"/>
      <c r="I17" s="9"/>
      <c r="J17" s="10"/>
    </row>
    <row r="18" spans="1:10" ht="19.95" customHeight="1" x14ac:dyDescent="0.3">
      <c r="A18" s="11">
        <v>14</v>
      </c>
      <c r="B18" s="12">
        <v>25200590</v>
      </c>
      <c r="C18" s="12">
        <v>1054</v>
      </c>
      <c r="D18" s="17">
        <v>42.77</v>
      </c>
      <c r="E18" s="14">
        <v>0.77200000000000002</v>
      </c>
      <c r="F18" s="3"/>
      <c r="G18" s="32"/>
      <c r="H18" s="22"/>
      <c r="I18" s="13"/>
      <c r="J18" s="14"/>
    </row>
    <row r="19" spans="1:10" ht="19.95" customHeight="1" x14ac:dyDescent="0.3">
      <c r="A19" s="7">
        <v>15</v>
      </c>
      <c r="B19" s="8">
        <v>26020520</v>
      </c>
      <c r="C19" s="8">
        <v>741</v>
      </c>
      <c r="D19" s="16">
        <v>58.86</v>
      </c>
      <c r="E19" s="19">
        <v>0.57499999999999996</v>
      </c>
      <c r="F19" s="3"/>
      <c r="G19" s="31"/>
      <c r="H19" s="21"/>
      <c r="I19" s="9"/>
      <c r="J19" s="10"/>
    </row>
    <row r="20" spans="1:10" ht="19.95" customHeight="1" x14ac:dyDescent="0.3">
      <c r="A20" s="11">
        <v>16</v>
      </c>
      <c r="B20" s="12">
        <v>26040643</v>
      </c>
      <c r="C20" s="12">
        <v>715</v>
      </c>
      <c r="D20" s="17">
        <v>48.52</v>
      </c>
      <c r="E20" s="14">
        <v>1.321</v>
      </c>
      <c r="F20" s="3"/>
      <c r="G20" s="31"/>
      <c r="H20" s="21"/>
      <c r="I20" s="9"/>
      <c r="J20" s="10"/>
    </row>
    <row r="21" spans="1:10" ht="19.95" customHeight="1" x14ac:dyDescent="0.3">
      <c r="A21" s="7">
        <v>17</v>
      </c>
      <c r="B21" s="8">
        <v>26130338</v>
      </c>
      <c r="C21" s="8">
        <v>721</v>
      </c>
      <c r="D21" s="16">
        <v>49.75</v>
      </c>
      <c r="E21" s="19">
        <v>1.171</v>
      </c>
      <c r="F21" s="3"/>
      <c r="G21" s="32"/>
      <c r="H21" s="22"/>
      <c r="I21" s="13"/>
      <c r="J21" s="14"/>
    </row>
    <row r="22" spans="1:10" ht="19.95" customHeight="1" x14ac:dyDescent="0.3">
      <c r="A22" s="11">
        <v>18</v>
      </c>
      <c r="B22" s="12">
        <v>26160263</v>
      </c>
      <c r="C22" s="12">
        <v>1022</v>
      </c>
      <c r="D22" s="17">
        <v>46.98</v>
      </c>
      <c r="E22" s="14">
        <v>0.73399999999999999</v>
      </c>
      <c r="F22" s="3"/>
      <c r="G22" s="31"/>
      <c r="H22" s="21"/>
      <c r="I22" s="9"/>
      <c r="J22" s="10"/>
    </row>
    <row r="23" spans="1:10" ht="19.95" customHeight="1" x14ac:dyDescent="0.3">
      <c r="A23" s="7">
        <v>19</v>
      </c>
      <c r="B23" s="8">
        <v>26160264</v>
      </c>
      <c r="C23" s="8">
        <v>873</v>
      </c>
      <c r="D23" s="16">
        <v>48.84</v>
      </c>
      <c r="E23" s="19">
        <v>0.94199999999999995</v>
      </c>
      <c r="F23" s="3"/>
      <c r="G23" s="31"/>
      <c r="H23" s="21"/>
      <c r="I23" s="9"/>
      <c r="J23" s="10"/>
    </row>
    <row r="24" spans="1:10" ht="19.95" customHeight="1" x14ac:dyDescent="0.3">
      <c r="A24" s="24">
        <v>20</v>
      </c>
      <c r="B24" s="25">
        <v>25190285</v>
      </c>
      <c r="C24" s="25">
        <v>1024.8</v>
      </c>
      <c r="D24" s="26">
        <v>44.67</v>
      </c>
      <c r="E24" s="27">
        <v>0.92800000000000005</v>
      </c>
      <c r="F24" s="28"/>
      <c r="G24" s="32"/>
      <c r="H24" s="22"/>
      <c r="I24" s="13"/>
      <c r="J24" s="14"/>
    </row>
    <row r="25" spans="1:10" ht="19.95" customHeight="1" x14ac:dyDescent="0.3">
      <c r="A25" s="57">
        <v>21</v>
      </c>
      <c r="B25" s="58">
        <v>25020345</v>
      </c>
      <c r="C25" s="58">
        <f>11.83*60</f>
        <v>709.8</v>
      </c>
      <c r="D25" s="59">
        <v>43.94</v>
      </c>
      <c r="E25" s="60">
        <v>0.83299999999999996</v>
      </c>
      <c r="F25" s="36"/>
      <c r="G25" s="31"/>
      <c r="H25" s="21"/>
      <c r="I25" s="9"/>
      <c r="J25" s="10"/>
    </row>
    <row r="26" spans="1:10" ht="19.95" customHeight="1" thickBot="1" x14ac:dyDescent="0.35">
      <c r="A26" s="38">
        <v>22</v>
      </c>
      <c r="B26" s="40">
        <f>25190285</f>
        <v>25190285</v>
      </c>
      <c r="C26" s="40">
        <f>1025</f>
        <v>1025</v>
      </c>
      <c r="D26" s="43">
        <f>44.67</f>
        <v>44.67</v>
      </c>
      <c r="E26" s="45">
        <f>0.928</f>
        <v>0.92800000000000005</v>
      </c>
      <c r="F26" s="36"/>
      <c r="G26" s="31"/>
      <c r="H26" s="21"/>
      <c r="I26" s="9"/>
      <c r="J26" s="10"/>
    </row>
    <row r="27" spans="1:10" ht="24" customHeight="1" thickBot="1" x14ac:dyDescent="0.35">
      <c r="A27" s="37" t="s">
        <v>9</v>
      </c>
      <c r="B27" s="39" t="s">
        <v>10</v>
      </c>
      <c r="C27" s="41">
        <f>AVERAGE(C5:C26)</f>
        <v>863.89090909090908</v>
      </c>
      <c r="D27" s="42">
        <f>AVERAGE(D5:D26)</f>
        <v>47.678095238095231</v>
      </c>
      <c r="E27" s="44">
        <f>AVERAGE(E5:E26)</f>
        <v>0.88759090909090899</v>
      </c>
      <c r="F27" s="29"/>
      <c r="G27" s="30" t="s">
        <v>10</v>
      </c>
      <c r="H27" s="33">
        <f>AVERAGE(H5:H16)</f>
        <v>856.5</v>
      </c>
      <c r="I27" s="34">
        <f>AVERAGE(I5:I16)</f>
        <v>50.228181818181817</v>
      </c>
      <c r="J27" s="35">
        <f>AVERAGE(J5:J16)</f>
        <v>0.91058333333333319</v>
      </c>
    </row>
    <row r="29" spans="1:10" ht="16.05" customHeight="1" x14ac:dyDescent="0.3">
      <c r="A29" s="71" t="s">
        <v>11</v>
      </c>
      <c r="B29" s="72"/>
      <c r="C29" s="72"/>
      <c r="D29" s="72"/>
      <c r="E29" s="72"/>
      <c r="F29" s="72"/>
      <c r="G29" s="72"/>
      <c r="H29" s="72"/>
      <c r="I29" s="72"/>
      <c r="J29" s="72"/>
    </row>
  </sheetData>
  <mergeCells count="5">
    <mergeCell ref="A1:J1"/>
    <mergeCell ref="B3:E3"/>
    <mergeCell ref="G3:J3"/>
    <mergeCell ref="A3:A4"/>
    <mergeCell ref="A29:J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Blanchet</dc:creator>
  <cp:lastModifiedBy>Marius Blanchet</cp:lastModifiedBy>
  <dcterms:created xsi:type="dcterms:W3CDTF">2015-06-05T18:17:20Z</dcterms:created>
  <dcterms:modified xsi:type="dcterms:W3CDTF">2026-06-29T13:57:35Z</dcterms:modified>
</cp:coreProperties>
</file>